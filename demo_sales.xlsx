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ales" sheetId="1" r:id="rId1"/>
  </sheets>
  <calcPr calcId="191029"/>
</workbook>
</file>

<file path=xl/comments1.xml><?xml version="1.0" encoding="utf-8"?>
<comments xmlns="http://schemas.openxmlformats.org/spreadsheetml/2006/main">
  <authors>
    <author>GridCraft User</author>
  </authors>
  <commentList>
    <comment ref="H4" authorId="0">
      <text>
        <r>
          <t>Q4 vs Q1 growth for each region.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<sst xmlns="http://schemas.openxmlformats.org/spreadsheetml/2006/main" count="21" uniqueCount="20">
  <si>
    <t>Quarterly Sales Dashboard</t>
  </si>
  <si>
    <t>Fiscal year 2026 · all figures in USD</t>
  </si>
  <si>
    <t>Region</t>
  </si>
  <si>
    <t>Q1</t>
  </si>
  <si>
    <t>Q2</t>
  </si>
  <si>
    <t>Q3</t>
  </si>
  <si>
    <t>Q4</t>
  </si>
  <si>
    <t>Total</t>
  </si>
  <si>
    <t>Growth</t>
  </si>
  <si>
    <t>Trend</t>
  </si>
  <si>
    <t>North</t>
  </si>
  <si>
    <t>South</t>
  </si>
  <si>
    <t>East</t>
  </si>
  <si>
    <t>West</t>
  </si>
  <si>
    <t>Central</t>
  </si>
  <si>
    <t>Online</t>
  </si>
  <si>
    <t>Best region</t>
  </si>
  <si>
    <t>Average quarter</t>
  </si>
  <si>
    <t>Online share</t>
  </si>
  <si>
    <t>Year-over-year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</si>
</sst>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4">
    <font>
      <sz val="11"/>
      <color theme="1"/>
      <name val="Calibri"/>
      <family val="2"/>
      <scheme val="minor"/>
    </font>
    <font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F2F7F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0" borderId="1" xfId="0" applyFont="1" applyBorder="1"/>
    <xf numFmtId="0" fontId="0" fillId="0" borderId="2" xfId="0" applyBorder="1"/>
    <xf numFmtId="0" fontId="3" fillId="0" borderId="3" xfId="0" applyFont="1" applyBorder="1"/>
    <xf numFmtId="164" fontId="0" fillId="0" borderId="4" xfId="0" applyNumberFormat="1" applyBorder="1"/>
    <xf numFmtId="165" fontId="0" fillId="0" borderId="4" xfId="0" applyNumberFormat="1" applyBorder="1"/>
    <xf numFmtId="0" fontId="3" fillId="0" borderId="5" xfId="0" applyFont="1" applyBorder="1"/>
    <xf numFmtId="165" fontId="0" fillId="0" borderId="6" xfId="0" applyNumberFormat="1" applyBorder="1"/>
    <xf numFmtId="0" fontId="3" fillId="2" borderId="1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64" fontId="0" fillId="2" borderId="4" xfId="0" applyNumberFormat="1" applyFill="1" applyBorder="1"/>
    <xf numFmtId="165" fontId="0" fillId="2" borderId="4" xfId="0" applyNumberFormat="1" applyFill="1" applyBorder="1"/>
    <xf numFmtId="0" fontId="3" fillId="2" borderId="5" xfId="0" applyFont="1" applyFill="1" applyBorder="1"/>
    <xf numFmtId="165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Sales!$C$4</c:f>
              <c:strCache>
                <c:ptCount val="1"/>
                <c:pt idx="0">
                  <c:v>Q1</c:v>
                </c:pt>
              </c:strCache>
            </c:strRef>
          </c:tx>
          <c:invertIfNegative val="0"/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Sales!$C$5:$C$10</c:f>
              <c:numCache>
                <c:formatCode>General</c:formatCode>
                <c:ptCount val="6"/>
                <c:pt idx="0">
                  <c:v>48200</c:v>
                </c:pt>
                <c:pt idx="1">
                  <c:v>39150</c:v>
                </c:pt>
                <c:pt idx="2">
                  <c:v>55300</c:v>
                </c:pt>
                <c:pt idx="3">
                  <c:v>61020</c:v>
                </c:pt>
                <c:pt idx="4">
                  <c:v>28740</c:v>
                </c:pt>
                <c:pt idx="5">
                  <c:v>72410</c:v>
                </c:pt>
              </c:numCache>
            </c:numRef>
          </c:val>
        </c:ser>
        <c:ser>
          <c:idx val="1"/>
          <c:order val="1"/>
          <c:tx>
            <c:strRef>
              <c:f>Sales!$D$4</c:f>
              <c:strCache>
                <c:ptCount val="1"/>
                <c:pt idx="0">
                  <c:v>Q2</c:v>
                </c:pt>
              </c:strCache>
            </c:strRef>
          </c:tx>
          <c:invertIfNegative val="0"/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Sales!$D$5:$D$10</c:f>
              <c:numCache>
                <c:formatCode>General</c:formatCode>
                <c:ptCount val="6"/>
                <c:pt idx="0">
                  <c:v>51340</c:v>
                </c:pt>
                <c:pt idx="1">
                  <c:v>37980</c:v>
                </c:pt>
                <c:pt idx="2">
                  <c:v>58910</c:v>
                </c:pt>
                <c:pt idx="3">
                  <c:v>64400</c:v>
                </c:pt>
                <c:pt idx="4">
                  <c:v>31260</c:v>
                </c:pt>
                <c:pt idx="5">
                  <c:v>81630</c:v>
                </c:pt>
              </c:numCache>
            </c:numRef>
          </c:val>
        </c:ser>
        <c:ser>
          <c:idx val="2"/>
          <c:order val="2"/>
          <c:tx>
            <c:strRef>
              <c:f>Sales!$E$4</c:f>
              <c:strCache>
                <c:ptCount val="1"/>
                <c:pt idx="0">
                  <c:v>Q3</c:v>
                </c:pt>
              </c:strCache>
            </c:strRef>
          </c:tx>
          <c:invertIfNegative val="0"/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Sales!$E$5:$E$10</c:f>
              <c:numCache>
                <c:formatCode>General</c:formatCode>
                <c:ptCount val="6"/>
                <c:pt idx="0">
                  <c:v>56010</c:v>
                </c:pt>
                <c:pt idx="1">
                  <c:v>42400</c:v>
                </c:pt>
                <c:pt idx="2">
                  <c:v>57230</c:v>
                </c:pt>
                <c:pt idx="3">
                  <c:v>70150</c:v>
                </c:pt>
                <c:pt idx="4">
                  <c:v>33980</c:v>
                </c:pt>
                <c:pt idx="5">
                  <c:v>95220</c:v>
                </c:pt>
              </c:numCache>
            </c:numRef>
          </c:val>
        </c:ser>
        <c:ser>
          <c:idx val="3"/>
          <c:order val="3"/>
          <c:tx>
            <c:strRef>
              <c:f>Sales!$F$4</c:f>
              <c:strCache>
                <c:ptCount val="1"/>
                <c:pt idx="0">
                  <c:v>Q4</c:v>
                </c:pt>
              </c:strCache>
            </c:strRef>
          </c:tx>
          <c:invertIfNegative val="0"/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Sales!$F$5:$F$10</c:f>
              <c:numCache>
                <c:formatCode>General</c:formatCode>
                <c:ptCount val="6"/>
                <c:pt idx="0">
                  <c:v>61870</c:v>
                </c:pt>
                <c:pt idx="1">
                  <c:v>45120</c:v>
                </c:pt>
                <c:pt idx="2">
                  <c:v>63480</c:v>
                </c:pt>
                <c:pt idx="3">
                  <c:v>76390</c:v>
                </c:pt>
                <c:pt idx="4">
                  <c:v>36510</c:v>
                </c:pt>
                <c:pt idx="5">
                  <c:v>112840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Share of Annual Total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Sales!$G$4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Sales!$G$5:$G$10</c:f>
              <c:numCache>
                <c:formatCode>General</c:formatCode>
                <c:ptCount val="6"/>
                <c:pt idx="0">
                  <c:v>217420</c:v>
                </c:pt>
                <c:pt idx="1">
                  <c:v>164650</c:v>
                </c:pt>
                <c:pt idx="2">
                  <c:v>234920</c:v>
                </c:pt>
                <c:pt idx="3">
                  <c:v>271960</c:v>
                </c:pt>
                <c:pt idx="4">
                  <c:v>130490</c:v>
                </c:pt>
                <c:pt idx="5">
                  <c:v>362100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10</xdr:col>
      <xdr:colOff>0</xdr:colOff>
      <xdr:row>2</xdr:row>
      <xdr:rowOff>0</xdr:rowOff>
    </xdr:from>
    <xdr:to>
      <xdr:col>17</xdr:col>
      <xdr:colOff>114300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4381500" cy="257175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114300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4381500" cy="2476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" displayName="Sales" ref="B4:I11" totalsRowCount="1">
  <autoFilter ref="B4:I10"/>
  <tableColumns count="8">
    <tableColumn id="1" name="Region" totalsRowLabel="Total"/>
    <tableColumn id="2" name="Q1" totalsRowFunction="sum"/>
    <tableColumn id="3" name="Q2" totalsRowFunction="sum"/>
    <tableColumn id="4" name="Q3" totalsRowFunction="sum"/>
    <tableColumn id="5" name="Q4" totalsRowFunction="sum"/>
    <tableColumn id="6" name="Total" totalsRowFunction="sum"/>
    <tableColumn id="7" name="Growth" totalsRowFunction="average"/>
    <tableColumn id="8" name="Tr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7"/>
  <sheetViews>
    <sheetView tabSelected="1" workbookViewId="0">
      <selection activeCell="A1" sqref="A1"/>
    </sheetView>
  </sheetViews>
  <sheetFormatPr defaultRowHeight="15"/>
  <cols>
    <col min="1" max="1" width="2.8515625" customWidth="1"/>
    <col min="2" max="2" width="18.8515625" customWidth="1"/>
    <col min="3" max="7" width="12.00390625" customWidth="1"/>
    <col min="8" max="9" width="10.8515625" customWidth="1"/>
  </cols>
  <sheetData>
    <row r="2" ht="24.55">
      <c r="B2" s="1" t="s">
        <v>0</v>
      </c>
    </row>
    <row r="3">
      <c r="B3" s="2" t="s">
        <v>1</v>
      </c>
    </row>
    <row r="4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>
      <c r="B5" t="s">
        <v>10</v>
      </c>
      <c r="C5" s="3">
        <v>48200</v>
      </c>
      <c r="D5" s="3">
        <v>51340</v>
      </c>
      <c r="E5" s="3">
        <v>56010</v>
      </c>
      <c r="F5" s="3">
        <v>61870</v>
      </c>
      <c r="G5" s="3">
        <f>SUM(C5:F5)</f>
        <v>217420</v>
      </c>
      <c r="H5" s="4">
        <f>F5/C5-1</f>
        <v>0.28360995850622417</v>
      </c>
    </row>
    <row r="6">
      <c r="B6" t="s">
        <v>11</v>
      </c>
      <c r="C6" s="3">
        <v>39150</v>
      </c>
      <c r="D6" s="3">
        <v>37980</v>
      </c>
      <c r="E6" s="3">
        <v>42400</v>
      </c>
      <c r="F6" s="3">
        <v>45120</v>
      </c>
      <c r="G6" s="3">
        <f>SUM(C6:F6)</f>
        <v>164650</v>
      </c>
      <c r="H6" s="4">
        <f>F6/C6-1</f>
        <v>0.1524904214559386</v>
      </c>
    </row>
    <row r="7">
      <c r="B7" t="s">
        <v>12</v>
      </c>
      <c r="C7" s="3">
        <v>55300</v>
      </c>
      <c r="D7" s="3">
        <v>58910</v>
      </c>
      <c r="E7" s="3">
        <v>57230</v>
      </c>
      <c r="F7" s="3">
        <v>63480</v>
      </c>
      <c r="G7" s="3">
        <f>SUM(C7:F7)</f>
        <v>234920</v>
      </c>
      <c r="H7" s="4">
        <f>F7/C7-1</f>
        <v>0.14792043399638333</v>
      </c>
    </row>
    <row r="8">
      <c r="B8" t="s">
        <v>13</v>
      </c>
      <c r="C8" s="3">
        <v>61020</v>
      </c>
      <c r="D8" s="3">
        <v>64400</v>
      </c>
      <c r="E8" s="3">
        <v>70150</v>
      </c>
      <c r="F8" s="3">
        <v>76390</v>
      </c>
      <c r="G8" s="3">
        <f>SUM(C8:F8)</f>
        <v>271960</v>
      </c>
      <c r="H8" s="4">
        <f>F8/C8-1</f>
        <v>0.2518846279908227</v>
      </c>
    </row>
    <row r="9">
      <c r="B9" t="s">
        <v>14</v>
      </c>
      <c r="C9" s="3">
        <v>28740</v>
      </c>
      <c r="D9" s="3">
        <v>31260</v>
      </c>
      <c r="E9" s="3">
        <v>33980</v>
      </c>
      <c r="F9" s="3">
        <v>36510</v>
      </c>
      <c r="G9" s="3">
        <f>SUM(C9:F9)</f>
        <v>130490</v>
      </c>
      <c r="H9" s="4">
        <f>F9/C9-1</f>
        <v>0.2703549060542798</v>
      </c>
    </row>
    <row r="10">
      <c r="B10" t="s">
        <v>15</v>
      </c>
      <c r="C10" s="3">
        <v>72410</v>
      </c>
      <c r="D10" s="3">
        <v>81630</v>
      </c>
      <c r="E10" s="3">
        <v>95220</v>
      </c>
      <c r="F10" s="3">
        <v>112840</v>
      </c>
      <c r="G10" s="3">
        <f>SUM(C10:F10)</f>
        <v>362100</v>
      </c>
      <c r="H10" s="4">
        <f>F10/C10-1</f>
        <v>0.5583482944344704</v>
      </c>
    </row>
    <row r="11">
      <c r="B11" t="s">
        <v>7</v>
      </c>
      <c r="C11" s="3">
        <f>SUBTOTAL(109,Sales[Q1])</f>
        <v>304820</v>
      </c>
      <c r="D11" s="3">
        <f>SUBTOTAL(109,Sales[Q2])</f>
        <v>325520</v>
      </c>
      <c r="E11" s="3">
        <f>SUBTOTAL(109,Sales[Q3])</f>
        <v>354990</v>
      </c>
      <c r="F11" s="3">
        <f>SUBTOTAL(109,Sales[Q4])</f>
        <v>396210</v>
      </c>
      <c r="G11" s="3">
        <f>SUBTOTAL(109,Sales[Total])</f>
        <v>1381540</v>
      </c>
      <c r="H11" s="4">
        <f>SUBTOTAL(101,Sales[Growth])</f>
        <v>0.2774347737396865</v>
      </c>
    </row>
    <row r="14">
      <c r="B14" s="13" t="s">
        <v>16</v>
      </c>
      <c r="C14" s="14" cm="1" t="str">
        <f t="array" ref="C14">INDEX(Sales[Region],MATCH(MAX(Sales[Total]),Sales[Total],0))</f>
        <v>Online</v>
      </c>
    </row>
    <row r="15">
      <c r="B15" s="15" t="s">
        <v>17</v>
      </c>
      <c r="C15" s="16">
        <f>AVERAGE(C5:F10)</f>
        <v>57564.166666666664</v>
      </c>
    </row>
    <row r="16">
      <c r="B16" s="15" t="s">
        <v>18</v>
      </c>
      <c r="C16" s="17">
        <f>G10/SUM(G5:G10)</f>
        <v>0.26209881726189616</v>
      </c>
    </row>
    <row r="17">
      <c r="B17" s="18" t="s">
        <v>19</v>
      </c>
      <c r="C17" s="19">
        <f>SUM(F5:F10)/SUM(C5:C10)-1</f>
        <v>0.29981628502066804</v>
      </c>
    </row>
  </sheetData>
  <conditionalFormatting sqref="H5:H10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G5:G10">
    <cfRule type="dataBar" priority="2">
      <dataBar>
        <cfvo type="min"/>
        <cfvo type="max"/>
        <color rgb="FF5B9BD5"/>
      </dataBar>
    </cfRule>
  </conditionalFormatting>
  <pageMargins left="0.699999988079071" right="0.699999988079071" top="0.75" bottom="0.75" header="0.30000001192092896" footer="0.30000001192092896"/>
  <pageSetup orientation="portrait"/>
  <drawing r:id="rId1"/>
  <legacyDrawing r:id="rId3"/>
  <tableParts count="1">
    <tablePart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4"/>
          <x14:sparklines>
            <x14:sparkline>
              <xm:f>Sales!C5:F5</xm:f>
              <xm:sqref>I5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Sales!C6:F6</xm:f>
              <xm:sqref>I6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Sales!C7:F7</xm:f>
              <xm:sqref>I7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Sales!C8:F8</xm:f>
              <xm:sqref>I8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Sales!C9:F9</xm:f>
              <xm:sqref>I9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Sales!C10:F10</xm:f>
              <xm:sqref>I10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